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ex\OneDrive\ARG17\Datamaster\Documentation\"/>
    </mc:Choice>
  </mc:AlternateContent>
  <workbookProtection workbookAlgorithmName="SHA-512" workbookHashValue="8INTb1PaML2ZVR7MpY4FMzxQanEpPRONAEKF8hmtR4wyywtOkkbnCyW6BdMgISg+MhT8+dVidrjlzVVbp7Jpeg==" workbookSaltValue="VQ8euf/u0ScASQJBE1xcUg==" workbookSpinCount="100000" lockStructure="1"/>
  <bookViews>
    <workbookView xWindow="0" yWindow="0" windowWidth="28800" windowHeight="12360"/>
  </bookViews>
  <sheets>
    <sheet name="Details Checker" sheetId="1" r:id="rId1"/>
    <sheet name="Allowed Entries" sheetId="2" state="hidden" r:id="rId2"/>
  </sheets>
  <functionGroups builtInGroupCount="18"/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11" i="1"/>
  <c r="D10" i="1"/>
  <c r="D9" i="1"/>
  <c r="D5" i="1"/>
  <c r="E27" i="2"/>
</calcChain>
</file>

<file path=xl/sharedStrings.xml><?xml version="1.0" encoding="utf-8"?>
<sst xmlns="http://schemas.openxmlformats.org/spreadsheetml/2006/main" count="47" uniqueCount="46">
  <si>
    <t>Status</t>
  </si>
  <si>
    <t>Input</t>
  </si>
  <si>
    <t>Field</t>
  </si>
  <si>
    <t>Allowed Events</t>
  </si>
  <si>
    <t>Drive</t>
  </si>
  <si>
    <t>Dyno</t>
  </si>
  <si>
    <t>Flow</t>
  </si>
  <si>
    <t>Areo</t>
  </si>
  <si>
    <t>Ergo</t>
  </si>
  <si>
    <t>Unsprung</t>
  </si>
  <si>
    <t>Dtrain</t>
  </si>
  <si>
    <t>Subteam ID</t>
  </si>
  <si>
    <t>System ID</t>
  </si>
  <si>
    <t>Fault Codes</t>
  </si>
  <si>
    <t>Venues</t>
  </si>
  <si>
    <t>Accel</t>
  </si>
  <si>
    <t>Autox</t>
  </si>
  <si>
    <t>Endur</t>
  </si>
  <si>
    <t>Skid</t>
  </si>
  <si>
    <t>Hold</t>
  </si>
  <si>
    <t>Sweep</t>
  </si>
  <si>
    <t>Warm</t>
  </si>
  <si>
    <t>Other</t>
  </si>
  <si>
    <t>Blot</t>
  </si>
  <si>
    <t>Lab</t>
  </si>
  <si>
    <t>MIS</t>
  </si>
  <si>
    <t>Glen</t>
  </si>
  <si>
    <t>Destiny</t>
  </si>
  <si>
    <t>Groton</t>
  </si>
  <si>
    <t>ENG</t>
  </si>
  <si>
    <t>ISU</t>
  </si>
  <si>
    <t>EE</t>
  </si>
  <si>
    <t>FAIL</t>
  </si>
  <si>
    <t>CAT</t>
  </si>
  <si>
    <t>CHA</t>
  </si>
  <si>
    <t>MoTeC Details Checker</t>
  </si>
  <si>
    <t>EVENT</t>
  </si>
  <si>
    <t>VENUE</t>
  </si>
  <si>
    <t>ENGINE ID</t>
  </si>
  <si>
    <t>VEHICLE ID</t>
  </si>
  <si>
    <t>DRIVER</t>
  </si>
  <si>
    <t>SESSION</t>
  </si>
  <si>
    <t>SHORT</t>
  </si>
  <si>
    <t>Instructions:</t>
  </si>
  <si>
    <t>Link to Standard Datalogging Practices</t>
  </si>
  <si>
    <t>Fill in the above fields as if you were filling them out in MoTeC
If the status cell changes to "SUCCESS" -&gt; Congrats your entry is valid
If the status cell changes to "INVAILD" -&gt; Your entry is not valid and needs to be correct. Please refer to the Data Logging Standard for more infomation
For the Long Comment:
Explaination of the Short Comment if not "Good Test"
Explanation of the Event if "Other"
General Comments on the test
Additional Parameters to include: Air Temp, Humidity, Wind, Weather, Track Temp,Track Wettness
Parameters are logged using the format: Parameter Name: Value Unit
For Example: Air Temp: 25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</si>
</sst>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theme="0" tint="-0.14999847407452621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theme="4"/>
      </bottom>
      <diagonal/>
    </border>
    <border>
      <left/>
      <right/>
      <top style="thin">
        <color indexed="64"/>
      </top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 style="thick">
        <color theme="4"/>
      </bottom>
      <diagonal/>
    </border>
    <border>
      <left style="thin">
        <color indexed="64"/>
      </left>
      <right/>
      <top/>
      <bottom style="thick">
        <color theme="4"/>
      </bottom>
      <diagonal/>
    </border>
    <border>
      <left/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double">
        <color rgb="FF3F3F3F"/>
      </left>
      <right style="thin">
        <color indexed="64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/>
      <right/>
      <top style="thin">
        <color indexed="64"/>
      </top>
      <bottom style="thick">
        <color theme="4" tint="0.499984740745262"/>
      </bottom>
      <diagonal/>
    </border>
    <border>
      <left/>
      <right style="thin">
        <color indexed="64"/>
      </right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1" fillId="3" borderId="4" applyNumberFormat="0" applyFont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0" fillId="4" borderId="5" xfId="0" applyFont="1" applyFill="1" applyBorder="1"/>
    <xf numFmtId="0" fontId="9" fillId="0" borderId="6" xfId="5" applyFont="1" applyBorder="1" applyAlignment="1">
      <alignment horizontal="center"/>
    </xf>
    <xf numFmtId="0" fontId="9" fillId="0" borderId="7" xfId="5" applyFont="1" applyBorder="1" applyAlignment="1">
      <alignment horizontal="center"/>
    </xf>
    <xf numFmtId="0" fontId="9" fillId="0" borderId="8" xfId="5" applyFont="1" applyBorder="1" applyAlignment="1">
      <alignment horizontal="center"/>
    </xf>
    <xf numFmtId="0" fontId="0" fillId="4" borderId="0" xfId="0" applyFont="1" applyFill="1" applyBorder="1"/>
    <xf numFmtId="0" fontId="0" fillId="0" borderId="0" xfId="0" applyFont="1" applyBorder="1"/>
    <xf numFmtId="0" fontId="6" fillId="0" borderId="9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7" fillId="4" borderId="14" xfId="0" applyFont="1" applyFill="1" applyBorder="1" applyAlignment="1">
      <alignment horizontal="center" vertical="center"/>
    </xf>
    <xf numFmtId="0" fontId="4" fillId="2" borderId="16" xfId="3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0" fillId="4" borderId="19" xfId="0" applyFont="1" applyFill="1" applyBorder="1"/>
    <xf numFmtId="0" fontId="4" fillId="2" borderId="20" xfId="3" applyBorder="1" applyAlignment="1">
      <alignment horizontal="center" vertical="center"/>
    </xf>
    <xf numFmtId="0" fontId="3" fillId="0" borderId="21" xfId="2" applyBorder="1" applyAlignment="1">
      <alignment horizontal="center"/>
    </xf>
    <xf numFmtId="0" fontId="3" fillId="0" borderId="22" xfId="2" applyBorder="1" applyAlignment="1">
      <alignment horizontal="center"/>
    </xf>
    <xf numFmtId="0" fontId="3" fillId="0" borderId="23" xfId="2" applyBorder="1" applyAlignment="1">
      <alignment horizontal="center"/>
    </xf>
    <xf numFmtId="0" fontId="0" fillId="3" borderId="24" xfId="4" applyFont="1" applyBorder="1" applyAlignment="1">
      <alignment horizontal="left" vertical="top" wrapText="1"/>
    </xf>
    <xf numFmtId="0" fontId="0" fillId="3" borderId="25" xfId="4" applyFont="1" applyBorder="1" applyAlignment="1">
      <alignment horizontal="left" vertical="top"/>
    </xf>
    <xf numFmtId="0" fontId="0" fillId="3" borderId="26" xfId="4" applyFont="1" applyBorder="1" applyAlignment="1">
      <alignment horizontal="left" vertical="top"/>
    </xf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5" xfId="0" applyFont="1" applyBorder="1" applyAlignment="1">
      <alignment horizontal="center"/>
    </xf>
  </cellXfs>
  <cellStyles count="6">
    <cellStyle name="Check Cell" xfId="3" builtinId="23"/>
    <cellStyle name="Heading 1" xfId="1" builtinId="16"/>
    <cellStyle name="Heading 2" xfId="2" builtinId="17"/>
    <cellStyle name="Hyperlink" xfId="5" builtinId="8"/>
    <cellStyle name="Normal" xfId="0" builtinId="0"/>
    <cellStyle name="Note" xfId="4" builtinId="1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Event" displayName="Event" ref="C1:C9" totalsRowShown="0">
  <autoFilter ref="C1:C9">
    <filterColumn colId="0" hiddenButton="1"/>
  </autoFilter>
  <tableColumns count="1">
    <tableColumn id="1" name="Allowed Event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Subteam" displayName="Subteam" ref="E1:E8" totalsRowShown="0">
  <autoFilter ref="E1:E8"/>
  <tableColumns count="1">
    <tableColumn id="1" name="Subteam ID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4" name="System" displayName="System" ref="G1:G4" totalsRowShown="0">
  <autoFilter ref="G1:G4"/>
  <tableColumns count="1">
    <tableColumn id="1" name="System I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" name="Fault" displayName="Fault" ref="I1:I4" totalsRowShown="0">
  <autoFilter ref="I1:I4"/>
  <tableColumns count="1">
    <tableColumn id="1" name="Fault Codes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Venues" displayName="Venues" ref="A1:A9" totalsRowShown="0">
  <autoFilter ref="A1:A9"/>
  <tableColumns count="1">
    <tableColumn id="1" name="Venu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en-projectteams.files.cornell.edu\en-projectteams\en-fsae\Data\Standard%20Datalogging%20Practices.doc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16"/>
  <sheetViews>
    <sheetView showGridLines="0" tabSelected="1" workbookViewId="0">
      <selection activeCell="C7" sqref="C7"/>
    </sheetView>
  </sheetViews>
  <sheetFormatPr defaultRowHeight="15" x14ac:dyDescent="0.25"/>
  <cols>
    <col min="1" max="1" width="0.875" customWidth="1"/>
    <col min="2" max="2" width="13" bestFit="1" customWidth="1"/>
    <col min="3" max="3" width="75.375" customWidth="1"/>
    <col min="4" max="4" width="21" customWidth="1"/>
  </cols>
  <sheetData>
    <row r="1" spans="2:4" ht="3" customHeight="1" x14ac:dyDescent="0.25"/>
    <row r="2" spans="2:4" ht="15.75" thickBot="1" x14ac:dyDescent="0.3">
      <c r="B2" s="7" t="s">
        <v>35</v>
      </c>
      <c r="C2" s="8"/>
      <c r="D2" s="9"/>
    </row>
    <row r="3" spans="2:4" ht="16.5" thickTop="1" thickBot="1" x14ac:dyDescent="0.3">
      <c r="B3" s="10"/>
      <c r="C3" s="11"/>
      <c r="D3" s="12"/>
    </row>
    <row r="4" spans="2:4" ht="16.5" hidden="1" customHeight="1" thickTop="1" thickBot="1" x14ac:dyDescent="0.3">
      <c r="B4" s="26" t="s">
        <v>2</v>
      </c>
      <c r="C4" s="27" t="s">
        <v>1</v>
      </c>
      <c r="D4" s="28" t="s">
        <v>0</v>
      </c>
    </row>
    <row r="5" spans="2:4" ht="33" customHeight="1" thickTop="1" thickBot="1" x14ac:dyDescent="0.3">
      <c r="B5" s="13" t="s">
        <v>36</v>
      </c>
      <c r="C5" s="1"/>
      <c r="D5" s="14" t="str">
        <f>IF(RegExpCheck(C5,"^(" &amp; Range2Csv(Event[Allowed Events],"|") &amp;")+$"),"SUCCESS","INVALID")</f>
        <v>INVALID</v>
      </c>
    </row>
    <row r="6" spans="2:4" ht="33" customHeight="1" thickTop="1" thickBot="1" x14ac:dyDescent="0.3">
      <c r="B6" s="15" t="s">
        <v>37</v>
      </c>
      <c r="C6" s="6"/>
      <c r="D6" s="14" t="str">
        <f>IF(RegExpCheck(C6,"^(" &amp; Range2Csv(Venues[Venues],"|") &amp;")+$"),"SUCCESS","INVALID")</f>
        <v>INVALID</v>
      </c>
    </row>
    <row r="7" spans="2:4" ht="33" customHeight="1" thickTop="1" thickBot="1" x14ac:dyDescent="0.3">
      <c r="B7" s="16" t="s">
        <v>38</v>
      </c>
      <c r="C7" s="5"/>
      <c r="D7" s="14"/>
    </row>
    <row r="8" spans="2:4" ht="33" customHeight="1" thickTop="1" thickBot="1" x14ac:dyDescent="0.3">
      <c r="B8" s="15" t="s">
        <v>39</v>
      </c>
      <c r="C8" s="6"/>
      <c r="D8" s="14"/>
    </row>
    <row r="9" spans="2:4" ht="33" customHeight="1" thickTop="1" thickBot="1" x14ac:dyDescent="0.3">
      <c r="B9" s="16" t="s">
        <v>40</v>
      </c>
      <c r="C9" s="5"/>
      <c r="D9" s="14" t="str">
        <f>IF(RegExpCheck(C9,"^(([a-z]{2,3}\d+)\s*)+$"),"SUCCESS","INVALID")</f>
        <v>INVALID</v>
      </c>
    </row>
    <row r="10" spans="2:4" ht="33" customHeight="1" thickTop="1" thickBot="1" x14ac:dyDescent="0.3">
      <c r="B10" s="15" t="s">
        <v>41</v>
      </c>
      <c r="C10" s="6"/>
      <c r="D10" s="14" t="str">
        <f>IF(RegExpCheck(C10,"^(" &amp; Range2Csv(Subteam[Subteam ID],"|") &amp; ")[^a-z0-9]([a-z]{2,3}\d+)$"),"SUCCESS","INVALID")</f>
        <v>INVALID</v>
      </c>
    </row>
    <row r="11" spans="2:4" ht="33" customHeight="1" thickTop="1" x14ac:dyDescent="0.25">
      <c r="B11" s="17" t="s">
        <v>42</v>
      </c>
      <c r="C11" s="18"/>
      <c r="D11" s="19" t="str">
        <f>IF(OR(RegExpCheck(C11,"^(" &amp; Range2Csv(System[System ID],"|") &amp; ")[^a-z0-9](" &amp;  Range2Csv(Fault[Fault Codes],"|") &amp; ")$"),RegExpCheck(C11,"(Good Test)")),"SUCCESS","INVALID")</f>
        <v>INVALID</v>
      </c>
    </row>
    <row r="13" spans="2:4" ht="18" thickBot="1" x14ac:dyDescent="0.35">
      <c r="B13" s="20" t="s">
        <v>43</v>
      </c>
      <c r="C13" s="21"/>
      <c r="D13" s="22"/>
    </row>
    <row r="14" spans="2:4" ht="215.25" customHeight="1" thickTop="1" x14ac:dyDescent="0.25">
      <c r="B14" s="23" t="s">
        <v>45</v>
      </c>
      <c r="C14" s="24"/>
      <c r="D14" s="25"/>
    </row>
    <row r="15" spans="2:4" ht="7.5" customHeight="1" thickBot="1" x14ac:dyDescent="0.3"/>
    <row r="16" spans="2:4" ht="21.75" thickBot="1" x14ac:dyDescent="0.4">
      <c r="B16" s="2" t="s">
        <v>44</v>
      </c>
      <c r="C16" s="3"/>
      <c r="D16" s="4"/>
    </row>
  </sheetData>
  <sheetProtection algorithmName="SHA-512" hashValue="j1jDP7y+PXHuVf2FPAPkZijnsBqrkmzHmWgVEAi9SiVx5MRZYIMTczG4col06GRR4t9zXAt/M1vg356ebepVSg==" saltValue="f4T23fh3DplM1pOWKl9xcQ==" spinCount="100000" sheet="1"/>
  <protectedRanges>
    <protectedRange sqref="C5:C11" name="Enteries"/>
  </protectedRanges>
  <mergeCells count="4">
    <mergeCell ref="B2:D3"/>
    <mergeCell ref="B13:D13"/>
    <mergeCell ref="B14:D14"/>
    <mergeCell ref="B16:D16"/>
  </mergeCells>
  <conditionalFormatting sqref="D5:D11">
    <cfRule type="cellIs" dxfId="1" priority="1" operator="equal">
      <formula>"INVALID"</formula>
    </cfRule>
    <cfRule type="cellIs" dxfId="0" priority="2" operator="equal">
      <formula>"SUCCESS"</formula>
    </cfRule>
  </conditionalFormatting>
  <hyperlinks>
    <hyperlink ref="B16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G4" sqref="G4"/>
    </sheetView>
  </sheetViews>
  <sheetFormatPr defaultRowHeight="15" x14ac:dyDescent="0.25"/>
  <cols>
    <col min="1" max="1" width="9.25" customWidth="1"/>
    <col min="3" max="3" width="14.25" customWidth="1"/>
    <col min="5" max="5" width="11.75" bestFit="1" customWidth="1"/>
    <col min="7" max="7" width="11.75" bestFit="1" customWidth="1"/>
    <col min="9" max="9" width="11.75" bestFit="1" customWidth="1"/>
  </cols>
  <sheetData>
    <row r="1" spans="1:9" x14ac:dyDescent="0.25">
      <c r="A1" t="s">
        <v>14</v>
      </c>
      <c r="C1" t="s">
        <v>3</v>
      </c>
      <c r="E1" t="s">
        <v>11</v>
      </c>
      <c r="G1" t="s">
        <v>12</v>
      </c>
      <c r="I1" t="s">
        <v>13</v>
      </c>
    </row>
    <row r="2" spans="1:9" x14ac:dyDescent="0.25">
      <c r="A2" t="s">
        <v>23</v>
      </c>
      <c r="C2" t="s">
        <v>15</v>
      </c>
      <c r="E2" t="s">
        <v>4</v>
      </c>
      <c r="G2" t="s">
        <v>29</v>
      </c>
      <c r="I2" t="s">
        <v>30</v>
      </c>
    </row>
    <row r="3" spans="1:9" x14ac:dyDescent="0.25">
      <c r="A3" t="s">
        <v>5</v>
      </c>
      <c r="C3" t="s">
        <v>16</v>
      </c>
      <c r="E3" t="s">
        <v>5</v>
      </c>
      <c r="G3" t="s">
        <v>34</v>
      </c>
      <c r="I3" t="s">
        <v>32</v>
      </c>
    </row>
    <row r="4" spans="1:9" x14ac:dyDescent="0.25">
      <c r="A4" t="s">
        <v>24</v>
      </c>
      <c r="C4" t="s">
        <v>17</v>
      </c>
      <c r="E4" t="s">
        <v>6</v>
      </c>
      <c r="G4" t="s">
        <v>31</v>
      </c>
      <c r="I4" t="s">
        <v>33</v>
      </c>
    </row>
    <row r="5" spans="1:9" x14ac:dyDescent="0.25">
      <c r="A5" t="s">
        <v>25</v>
      </c>
      <c r="C5" t="s">
        <v>18</v>
      </c>
      <c r="E5" t="s">
        <v>7</v>
      </c>
    </row>
    <row r="6" spans="1:9" x14ac:dyDescent="0.25">
      <c r="A6" t="s">
        <v>26</v>
      </c>
      <c r="C6" t="s">
        <v>19</v>
      </c>
      <c r="E6" t="s">
        <v>8</v>
      </c>
    </row>
    <row r="7" spans="1:9" x14ac:dyDescent="0.25">
      <c r="A7" t="s">
        <v>27</v>
      </c>
      <c r="C7" t="s">
        <v>20</v>
      </c>
      <c r="E7" t="s">
        <v>9</v>
      </c>
    </row>
    <row r="8" spans="1:9" x14ac:dyDescent="0.25">
      <c r="A8" t="s">
        <v>28</v>
      </c>
      <c r="C8" t="s">
        <v>21</v>
      </c>
      <c r="E8" t="s">
        <v>10</v>
      </c>
    </row>
    <row r="9" spans="1:9" x14ac:dyDescent="0.25">
      <c r="C9" t="s">
        <v>22</v>
      </c>
    </row>
    <row r="27" spans="5:5" x14ac:dyDescent="0.25">
      <c r="E27" t="str">
        <f>Range2Csv(Venues[Venues],"|")</f>
        <v>Blot|Dyno|Lab|MIS|Glen|Destiny|Groton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 Checker</vt:lpstr>
      <vt:lpstr>Allowed Entries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2016-09-17T23:32:05Z</dcterms:created>
  <dcterms:modified xsi:type="dcterms:W3CDTF">2016-09-18T00:43:37Z</dcterms:modified>
</cp:coreProperties>
</file>